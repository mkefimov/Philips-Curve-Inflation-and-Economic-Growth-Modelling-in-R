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2"/>
  <workbookPr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13_ncr:1_{90099C5F-A73E-4EEE-B4B6-7706FF5F884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Phillips Curve Data" sheetId="1" r:id="rId1"/>
    <sheet name="Источники и методология" sheetId="2" r:id="rId2"/>
    <sheet name="Спецификация модели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37" i="1" l="1"/>
  <c r="O37" i="1"/>
  <c r="N37" i="1"/>
  <c r="M37" i="1"/>
  <c r="L37" i="1"/>
  <c r="P36" i="1"/>
  <c r="O36" i="1"/>
  <c r="N36" i="1"/>
  <c r="M36" i="1"/>
  <c r="L36" i="1"/>
  <c r="P35" i="1"/>
  <c r="O35" i="1"/>
  <c r="N35" i="1"/>
  <c r="M35" i="1"/>
  <c r="L35" i="1"/>
  <c r="P34" i="1"/>
  <c r="O34" i="1"/>
  <c r="N34" i="1"/>
  <c r="M34" i="1"/>
  <c r="L34" i="1"/>
  <c r="P33" i="1"/>
  <c r="O33" i="1"/>
  <c r="N33" i="1"/>
  <c r="M33" i="1"/>
  <c r="L33" i="1"/>
  <c r="P32" i="1"/>
  <c r="O32" i="1"/>
  <c r="N32" i="1"/>
  <c r="M32" i="1"/>
  <c r="L32" i="1"/>
  <c r="P31" i="1"/>
  <c r="O31" i="1"/>
  <c r="N31" i="1"/>
  <c r="M31" i="1"/>
  <c r="L31" i="1"/>
  <c r="P30" i="1"/>
  <c r="O30" i="1"/>
  <c r="N30" i="1"/>
  <c r="M30" i="1"/>
  <c r="L30" i="1"/>
  <c r="P29" i="1"/>
  <c r="O29" i="1"/>
  <c r="N29" i="1"/>
  <c r="M29" i="1"/>
  <c r="L29" i="1"/>
  <c r="P28" i="1"/>
  <c r="O28" i="1"/>
  <c r="N28" i="1"/>
  <c r="M28" i="1"/>
  <c r="L28" i="1"/>
  <c r="P27" i="1"/>
  <c r="O27" i="1"/>
  <c r="N27" i="1"/>
  <c r="M27" i="1"/>
  <c r="L27" i="1"/>
  <c r="P26" i="1"/>
  <c r="O26" i="1"/>
  <c r="N26" i="1"/>
  <c r="M26" i="1"/>
  <c r="L26" i="1"/>
  <c r="P25" i="1"/>
  <c r="O25" i="1"/>
  <c r="N25" i="1"/>
  <c r="M25" i="1"/>
  <c r="L25" i="1"/>
  <c r="P24" i="1"/>
  <c r="O24" i="1"/>
  <c r="N24" i="1"/>
  <c r="M24" i="1"/>
  <c r="L24" i="1"/>
  <c r="P23" i="1"/>
  <c r="O23" i="1"/>
  <c r="N23" i="1"/>
  <c r="M23" i="1"/>
  <c r="L23" i="1"/>
  <c r="P22" i="1"/>
  <c r="O22" i="1"/>
  <c r="N22" i="1"/>
  <c r="M22" i="1"/>
  <c r="L22" i="1"/>
  <c r="P21" i="1"/>
  <c r="O21" i="1"/>
  <c r="N21" i="1"/>
  <c r="M21" i="1"/>
  <c r="L21" i="1"/>
  <c r="P20" i="1"/>
  <c r="O20" i="1"/>
  <c r="N20" i="1"/>
  <c r="M20" i="1"/>
  <c r="L20" i="1"/>
  <c r="P19" i="1"/>
  <c r="O19" i="1"/>
  <c r="N19" i="1"/>
  <c r="M19" i="1"/>
  <c r="L19" i="1"/>
  <c r="P18" i="1"/>
  <c r="O18" i="1"/>
  <c r="N18" i="1"/>
  <c r="M18" i="1"/>
  <c r="L18" i="1"/>
  <c r="P17" i="1"/>
  <c r="O17" i="1"/>
  <c r="N17" i="1"/>
  <c r="M17" i="1"/>
  <c r="L17" i="1"/>
  <c r="P16" i="1"/>
  <c r="O16" i="1"/>
  <c r="N16" i="1"/>
  <c r="M16" i="1"/>
  <c r="L16" i="1"/>
  <c r="P15" i="1"/>
  <c r="O15" i="1"/>
  <c r="N15" i="1"/>
  <c r="M15" i="1"/>
  <c r="L15" i="1"/>
  <c r="P14" i="1"/>
  <c r="O14" i="1"/>
  <c r="N14" i="1"/>
  <c r="M14" i="1"/>
  <c r="L14" i="1"/>
  <c r="P13" i="1"/>
  <c r="O13" i="1"/>
  <c r="N13" i="1"/>
  <c r="M13" i="1"/>
  <c r="L13" i="1"/>
  <c r="P12" i="1"/>
  <c r="O12" i="1"/>
  <c r="N12" i="1"/>
  <c r="M12" i="1"/>
  <c r="L12" i="1"/>
  <c r="P11" i="1"/>
  <c r="O11" i="1"/>
  <c r="N11" i="1"/>
  <c r="M11" i="1"/>
  <c r="L11" i="1"/>
  <c r="P10" i="1"/>
  <c r="O10" i="1"/>
  <c r="N10" i="1"/>
  <c r="M10" i="1"/>
  <c r="L10" i="1"/>
  <c r="P9" i="1"/>
  <c r="O9" i="1"/>
  <c r="N9" i="1"/>
  <c r="M9" i="1"/>
  <c r="L9" i="1"/>
  <c r="P8" i="1"/>
  <c r="O8" i="1"/>
  <c r="N8" i="1"/>
  <c r="M8" i="1"/>
  <c r="L8" i="1"/>
  <c r="P7" i="1"/>
  <c r="O7" i="1"/>
  <c r="N7" i="1"/>
  <c r="M7" i="1"/>
  <c r="L7" i="1"/>
  <c r="P6" i="1"/>
  <c r="O6" i="1"/>
  <c r="N6" i="1"/>
  <c r="M6" i="1"/>
  <c r="L6" i="1"/>
  <c r="P5" i="1"/>
  <c r="O5" i="1"/>
  <c r="N5" i="1"/>
  <c r="M5" i="1"/>
  <c r="L5" i="1"/>
  <c r="P4" i="1"/>
  <c r="O4" i="1"/>
  <c r="N4" i="1"/>
  <c r="M4" i="1"/>
  <c r="L4" i="1"/>
  <c r="P3" i="1"/>
  <c r="O3" i="1"/>
  <c r="N3" i="1"/>
  <c r="M3" i="1"/>
  <c r="L3" i="1"/>
  <c r="P2" i="1"/>
  <c r="N2" i="1"/>
  <c r="L2" i="1"/>
</calcChain>
</file>

<file path=xl/sharedStrings.xml><?xml version="1.0" encoding="utf-8"?>
<sst xmlns="http://schemas.openxmlformats.org/spreadsheetml/2006/main" count="84" uniqueCount="75">
  <si>
    <t>Год</t>
  </si>
  <si>
    <t>Инфляция ИПЦ (%)</t>
  </si>
  <si>
    <t>ВВП номинальный (млрд руб.)</t>
  </si>
  <si>
    <t>Реальный ВВП (% прироста)</t>
  </si>
  <si>
    <t>Безработица (%)</t>
  </si>
  <si>
    <t>Разрыв выпуска (%)</t>
  </si>
  <si>
    <t>Инфляционные ожидания (%)</t>
  </si>
  <si>
    <t>Ключевая ставка ЦБ (%)</t>
  </si>
  <si>
    <t>М2 (млрд руб.)</t>
  </si>
  <si>
    <t>REER (индекс 2010=100)</t>
  </si>
  <si>
    <t>Дефицит бюджета (% ВВП)</t>
  </si>
  <si>
    <t>Лаг инфляции π_{t-1} (%)</t>
  </si>
  <si>
    <t>Изменение REER (%)</t>
  </si>
  <si>
    <t>Лаг REER (индекс)</t>
  </si>
  <si>
    <t>Темп М2 (%)</t>
  </si>
  <si>
    <t>Лаг разрыва выпуска (%)</t>
  </si>
  <si>
    <t>ДАННЫЕ ДЛЯ МОДЕЛИ КРИВОЙ ФИЛЛИПСА</t>
  </si>
  <si>
    <t>ПЕРЕМЕННЫЕ МОДЕЛИ:</t>
  </si>
  <si>
    <t>КОНТРОЛЬНЫЕ И ПОЛИТИЧЕСКИЕ ПЕРЕМЕННЫЕ:</t>
  </si>
  <si>
    <t>Ключевая ставка ЦБ РФ</t>
  </si>
  <si>
    <t>М2</t>
  </si>
  <si>
    <t>Цена нефти Urals</t>
  </si>
  <si>
    <t>REER</t>
  </si>
  <si>
    <t>Дефицит бюджета</t>
  </si>
  <si>
    <t>ИСТОЧНИКИ ДАННЫХ:</t>
  </si>
  <si>
    <t>Росстат</t>
  </si>
  <si>
    <t>ЦБ РФ</t>
  </si>
  <si>
    <t>ЦМАКП</t>
  </si>
  <si>
    <t>Минфин РФ</t>
  </si>
  <si>
    <t>МВФ/Всемирный банк</t>
  </si>
  <si>
    <t>ПРИМЕЧАНИЯ:</t>
  </si>
  <si>
    <t>Пробелы в данных</t>
  </si>
  <si>
    <t>Структурные разрывы</t>
  </si>
  <si>
    <t>Модель</t>
  </si>
  <si>
    <t>ГИБРИДНАЯ КРИВАЯ ФИЛЛИПСА ДЛЯ РОССИИ</t>
  </si>
  <si>
    <t>УРАВНЕНИЕ МОДЕЛИ:</t>
  </si>
  <si>
    <t>header</t>
  </si>
  <si>
    <t>π_t = γ_f·E_t(π_{t+1}) + γ_b·π_{t-1} + λ·x_t + ε_t</t>
  </si>
  <si>
    <t>formula</t>
  </si>
  <si>
    <t>ПЕРЕМЕННЫЕ В МОДЕЛИ:</t>
  </si>
  <si>
    <t>Зависимая переменная (Y):</t>
  </si>
  <si>
    <t>subheader</t>
  </si>
  <si>
    <t>π_t</t>
  </si>
  <si>
    <t>Инфляция ИПЦ (столбец B)</t>
  </si>
  <si>
    <t>Независимые переменные (X):</t>
  </si>
  <si>
    <t>E_t(π_{t+1})</t>
  </si>
  <si>
    <t>Инфляционные ожидания (столбец G) - проксирует впередсмотрящие ожидания</t>
  </si>
  <si>
    <t>π_{t-1}</t>
  </si>
  <si>
    <t>Лаг инфляции (столбец M) - адаптивные ожидания</t>
  </si>
  <si>
    <t>x_t</t>
  </si>
  <si>
    <t>Разрыв выпуска (столбец F) - мера циклической безработицы</t>
  </si>
  <si>
    <t>Контрольные переменные:</t>
  </si>
  <si>
    <t>Реальный курс (столбец K) - фактор открытой экономики</t>
  </si>
  <si>
    <t>Δe_t</t>
  </si>
  <si>
    <t>Изменение REER (столбец N) - ожидаемая девальвация</t>
  </si>
  <si>
    <t>i_t</t>
  </si>
  <si>
    <t>Ключевая ставка (столбец I) - монетарная политика</t>
  </si>
  <si>
    <t>РЕКОМЕНДУЕМЫЕ МЕТОДЫ ОЦЕНКИ:</t>
  </si>
  <si>
    <t>Метод</t>
  </si>
  <si>
    <t>OLS с HAC стандартными ошибками или GMM (как в исследованиях [7] и [9])</t>
  </si>
  <si>
    <t>Период</t>
  </si>
  <si>
    <t>1995-2026 (более полные данные после стабилизации 1995 г.)</t>
  </si>
  <si>
    <t>Частота</t>
  </si>
  <si>
    <t>Годовые данные (36 наблюдений после 1990 г.)</t>
  </si>
  <si>
    <t>Проблемы эндогенности</t>
  </si>
  <si>
    <t>Возможна обратная причинность инфляции → ожидания; используйте лаги</t>
  </si>
  <si>
    <t>ОЖИДАЕМЫЕ РЕЗУЛЬТАТЫ (на основе [9]):</t>
  </si>
  <si>
    <t>γ_b &gt; γ_f</t>
  </si>
  <si>
    <t>Вес адаптивных ожиданий выше рациональных</t>
  </si>
  <si>
    <t>λ &gt; 0</t>
  </si>
  <si>
    <t>Положительная чувствительность инфляции к разрыву выпуска</t>
  </si>
  <si>
    <t>R² ~ 0.6-0.8</t>
  </si>
  <si>
    <t>Хорошее объяснение инфляции</t>
  </si>
  <si>
    <t>Коэффициенты должны быть значимы на уровне 5%</t>
  </si>
  <si>
    <t>t-stats &gt; 1.96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</si>
</sst>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0"/>
      <color rgb="FFFFFFFF"/>
      <name val="Cambria"/>
      <charset val="1"/>
    </font>
    <font>
      <i/>
      <sz val="11"/>
      <color rgb="FFCCCCCC"/>
      <name val="Cambria"/>
      <charset val="1"/>
    </font>
    <font>
      <b/>
      <sz val="12"/>
      <color rgb="FF1F4E78"/>
      <name val="Cambria"/>
      <charset val="1"/>
    </font>
    <font>
      <b/>
      <sz val="11"/>
      <color rgb="FF1F4E78"/>
      <name val="Cambria"/>
      <charset val="1"/>
    </font>
    <font>
      <sz val="10"/>
      <name val="Cambria"/>
      <charset val="1"/>
    </font>
    <font>
      <i/>
      <sz val="11"/>
      <color rgb="FFC00000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D9E1F2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4" fillId="4" borderId="0" xfId="0" applyFont="1" applyFill="1"/>
    <xf numFmtId="0" fontId="7" fillId="0" borderId="0" xfId="0" applyFont="1"/>
    <xf numFmtId="0" fontId="1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topLeftCell="D1" zoomScaleNormal="100" workbookViewId="0">
      <pane ySplit="1" topLeftCell="A2" activePane="bottomLeft" state="frozen"/>
      <selection pane="bottomLeft" activeCell="O2" sqref="O2"/>
    </sheetView>
  </sheetViews>
  <sheetFormatPr defaultColWidth="8.7109375" defaultRowHeight="15" x14ac:dyDescent="0.25"/>
  <cols>
    <col min="1" max="1" width="8" customWidth="1"/>
    <col min="2" max="2" width="18" customWidth="1"/>
    <col min="3" max="4" width="22" customWidth="1"/>
    <col min="5" max="5" width="16" customWidth="1"/>
    <col min="6" max="6" width="18" customWidth="1"/>
    <col min="7" max="7" width="22" customWidth="1"/>
    <col min="8" max="8" width="20" customWidth="1"/>
    <col min="9" max="9" width="18" customWidth="1"/>
    <col min="10" max="10" width="22" customWidth="1"/>
    <col min="11" max="11" width="20" customWidth="1"/>
    <col min="12" max="16" width="18" customWidth="1"/>
  </cols>
  <sheetData>
    <row r="1" spans="1:16" ht="41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5" customHeight="1" x14ac:dyDescent="0.25">
      <c r="A2" s="3">
        <v>1991</v>
      </c>
      <c r="B2" s="4">
        <v>92.7</v>
      </c>
      <c r="C2" s="5">
        <v>1409</v>
      </c>
      <c r="D2" s="4">
        <v>-8</v>
      </c>
      <c r="E2" s="5">
        <v>0.8</v>
      </c>
      <c r="F2" s="4">
        <v>-12</v>
      </c>
      <c r="G2" s="6"/>
      <c r="H2" s="6"/>
      <c r="I2" s="4">
        <v>68</v>
      </c>
      <c r="J2" s="6"/>
      <c r="K2" s="4">
        <v>-3.5</v>
      </c>
      <c r="L2" s="4" t="str">
        <f>B1</f>
        <v>Инфляция ИПЦ (%)</v>
      </c>
      <c r="M2" s="4"/>
      <c r="N2" s="4" t="str">
        <f t="shared" ref="N2:N37" si="0">J1</f>
        <v>REER (индекс 2010=100)</v>
      </c>
      <c r="O2" s="4"/>
      <c r="P2" s="4" t="str">
        <f t="shared" ref="P2:P37" si="1">F1</f>
        <v>Разрыв выпуска (%)</v>
      </c>
    </row>
    <row r="3" spans="1:16" ht="15" customHeight="1" x14ac:dyDescent="0.25">
      <c r="A3" s="3">
        <v>1992</v>
      </c>
      <c r="B3" s="4">
        <v>2508.8000000000002</v>
      </c>
      <c r="C3" s="5">
        <v>4626</v>
      </c>
      <c r="D3" s="4">
        <v>-14.5</v>
      </c>
      <c r="E3" s="5">
        <v>4.9000000000000004</v>
      </c>
      <c r="F3" s="4">
        <v>-15</v>
      </c>
      <c r="G3" s="6"/>
      <c r="H3" s="4">
        <v>80</v>
      </c>
      <c r="I3" s="4">
        <v>243</v>
      </c>
      <c r="J3" s="6"/>
      <c r="K3" s="4">
        <v>-10</v>
      </c>
      <c r="L3" s="4">
        <f>B2</f>
        <v>92.7</v>
      </c>
      <c r="M3" s="4" t="str">
        <f t="shared" ref="M3:M37" si="2">IF(AND(ISNUMBER(J3),ISNUMBER(J2),J2&lt;&gt;0),(J3-J2)/J2*100,"")</f>
        <v/>
      </c>
      <c r="N3" s="4">
        <f t="shared" si="0"/>
        <v>0</v>
      </c>
      <c r="O3" s="4" t="str">
        <f>IF(AND(ISNUMBER(H3),ISNUMBER(H2),H2&lt;&gt;0),(H3-H2)/H2*100,"")</f>
        <v/>
      </c>
      <c r="P3" s="4">
        <f t="shared" si="1"/>
        <v>-12</v>
      </c>
    </row>
    <row r="4" spans="1:16" ht="15" customHeight="1" x14ac:dyDescent="0.25">
      <c r="A4" s="3">
        <v>1993</v>
      </c>
      <c r="B4" s="4">
        <v>874.6</v>
      </c>
      <c r="C4" s="5">
        <v>8643</v>
      </c>
      <c r="D4" s="4">
        <v>-8.6999999999999993</v>
      </c>
      <c r="E4" s="5">
        <v>5.3</v>
      </c>
      <c r="F4" s="4">
        <v>-10</v>
      </c>
      <c r="G4" s="6"/>
      <c r="H4" s="4">
        <v>60</v>
      </c>
      <c r="I4" s="4">
        <v>863</v>
      </c>
      <c r="J4" s="6"/>
      <c r="K4" s="4">
        <v>-8.5</v>
      </c>
      <c r="L4" s="4">
        <f>B3</f>
        <v>2508.8000000000002</v>
      </c>
      <c r="M4" s="4" t="str">
        <f t="shared" si="2"/>
        <v/>
      </c>
      <c r="N4" s="4">
        <f t="shared" si="0"/>
        <v>0</v>
      </c>
      <c r="O4" s="4">
        <f>IF(AND(ISNUMBER(H4),ISNUMBER(H3),H3&lt;&gt;0),(H4-H3)/H3*100,"")</f>
        <v>-25</v>
      </c>
      <c r="P4" s="4">
        <f t="shared" si="1"/>
        <v>-15</v>
      </c>
    </row>
    <row r="5" spans="1:16" ht="15" customHeight="1" x14ac:dyDescent="0.25">
      <c r="A5" s="3">
        <v>1994</v>
      </c>
      <c r="B5" s="4">
        <v>307.60000000000002</v>
      </c>
      <c r="C5" s="5">
        <v>18180</v>
      </c>
      <c r="D5" s="4">
        <v>-12.7</v>
      </c>
      <c r="E5" s="5">
        <v>6.1</v>
      </c>
      <c r="F5" s="4">
        <v>-14</v>
      </c>
      <c r="G5" s="6"/>
      <c r="H5" s="4">
        <v>60</v>
      </c>
      <c r="I5" s="4">
        <v>1933</v>
      </c>
      <c r="J5" s="6"/>
      <c r="K5" s="4">
        <v>-9.5</v>
      </c>
      <c r="L5" s="4">
        <f>B4</f>
        <v>874.6</v>
      </c>
      <c r="M5" s="4" t="str">
        <f t="shared" si="2"/>
        <v/>
      </c>
      <c r="N5" s="4">
        <f t="shared" si="0"/>
        <v>0</v>
      </c>
      <c r="O5" s="4">
        <f>IF(AND(ISNUMBER(H5),ISNUMBER(H4),H4&lt;&gt;0),(H5-H4)/H4*100,"")</f>
        <v>0</v>
      </c>
      <c r="P5" s="4">
        <f t="shared" si="1"/>
        <v>-10</v>
      </c>
    </row>
    <row r="6" spans="1:16" ht="15" customHeight="1" x14ac:dyDescent="0.25">
      <c r="A6" s="3">
        <v>1995</v>
      </c>
      <c r="B6" s="4">
        <v>131.30000000000001</v>
      </c>
      <c r="C6" s="5">
        <v>38141</v>
      </c>
      <c r="D6" s="4">
        <v>-4.0999999999999996</v>
      </c>
      <c r="E6" s="5">
        <v>5.9</v>
      </c>
      <c r="F6" s="4">
        <v>-6</v>
      </c>
      <c r="G6" s="6"/>
      <c r="H6" s="4">
        <v>50</v>
      </c>
      <c r="I6" s="4">
        <v>4043</v>
      </c>
      <c r="J6" s="6"/>
      <c r="K6" s="4">
        <v>-6</v>
      </c>
      <c r="L6" s="4">
        <f>B5</f>
        <v>307.60000000000002</v>
      </c>
      <c r="M6" s="4" t="str">
        <f t="shared" si="2"/>
        <v/>
      </c>
      <c r="N6" s="4">
        <f t="shared" si="0"/>
        <v>0</v>
      </c>
      <c r="O6" s="4">
        <f>IF(AND(ISNUMBER(H6),ISNUMBER(H5),H5&lt;&gt;0),(H6-H5)/H5*100,"")</f>
        <v>-16.666666666666664</v>
      </c>
      <c r="P6" s="4">
        <f t="shared" si="1"/>
        <v>-14</v>
      </c>
    </row>
    <row r="7" spans="1:16" ht="15" customHeight="1" x14ac:dyDescent="0.25">
      <c r="A7" s="3">
        <v>1996</v>
      </c>
      <c r="B7" s="4">
        <v>47.9</v>
      </c>
      <c r="C7" s="5">
        <v>56497</v>
      </c>
      <c r="D7" s="4">
        <v>-3.6</v>
      </c>
      <c r="E7" s="5">
        <v>5.8</v>
      </c>
      <c r="F7" s="4">
        <v>-4</v>
      </c>
      <c r="G7" s="6"/>
      <c r="H7" s="4">
        <v>42</v>
      </c>
      <c r="I7" s="4">
        <v>7397</v>
      </c>
      <c r="J7" s="6"/>
      <c r="K7" s="4">
        <v>-4.5</v>
      </c>
      <c r="L7" s="4">
        <f>B6</f>
        <v>131.30000000000001</v>
      </c>
      <c r="M7" s="4" t="str">
        <f t="shared" si="2"/>
        <v/>
      </c>
      <c r="N7" s="4">
        <f t="shared" si="0"/>
        <v>0</v>
      </c>
      <c r="O7" s="4">
        <f>IF(AND(ISNUMBER(H7),ISNUMBER(H6),H6&lt;&gt;0),(H7-H6)/H6*100,"")</f>
        <v>-16</v>
      </c>
      <c r="P7" s="4">
        <f t="shared" si="1"/>
        <v>-6</v>
      </c>
    </row>
    <row r="8" spans="1:16" ht="15" customHeight="1" x14ac:dyDescent="0.25">
      <c r="A8" s="3">
        <v>1997</v>
      </c>
      <c r="B8" s="4">
        <v>14.7</v>
      </c>
      <c r="C8" s="5">
        <v>71241</v>
      </c>
      <c r="D8" s="4">
        <v>1.6</v>
      </c>
      <c r="E8" s="5">
        <v>6.1</v>
      </c>
      <c r="F8" s="4">
        <v>0.5</v>
      </c>
      <c r="G8" s="6"/>
      <c r="H8" s="4">
        <v>28</v>
      </c>
      <c r="I8" s="4">
        <v>10543</v>
      </c>
      <c r="J8" s="6"/>
      <c r="K8" s="4">
        <v>-2</v>
      </c>
      <c r="L8" s="4">
        <f>B7</f>
        <v>47.9</v>
      </c>
      <c r="M8" s="4" t="str">
        <f t="shared" si="2"/>
        <v/>
      </c>
      <c r="N8" s="4">
        <f t="shared" si="0"/>
        <v>0</v>
      </c>
      <c r="O8" s="4">
        <f>IF(AND(ISNUMBER(H8),ISNUMBER(H7),H7&lt;&gt;0),(H8-H7)/H7*100,"")</f>
        <v>-33.333333333333329</v>
      </c>
      <c r="P8" s="4">
        <f t="shared" si="1"/>
        <v>-4</v>
      </c>
    </row>
    <row r="9" spans="1:16" ht="15" customHeight="1" x14ac:dyDescent="0.25">
      <c r="A9" s="3">
        <v>1998</v>
      </c>
      <c r="B9" s="4">
        <v>84.5</v>
      </c>
      <c r="C9" s="5">
        <v>84202</v>
      </c>
      <c r="D9" s="4">
        <v>-5.3</v>
      </c>
      <c r="E9" s="5">
        <v>13.3</v>
      </c>
      <c r="F9" s="4">
        <v>-7</v>
      </c>
      <c r="G9" s="6"/>
      <c r="H9" s="4">
        <v>60</v>
      </c>
      <c r="I9" s="4">
        <v>12159</v>
      </c>
      <c r="J9" s="6"/>
      <c r="K9" s="4">
        <v>-4.8</v>
      </c>
      <c r="L9" s="4">
        <f>B8</f>
        <v>14.7</v>
      </c>
      <c r="M9" s="4" t="str">
        <f t="shared" si="2"/>
        <v/>
      </c>
      <c r="N9" s="4">
        <f t="shared" si="0"/>
        <v>0</v>
      </c>
      <c r="O9" s="4">
        <f>IF(AND(ISNUMBER(H9),ISNUMBER(H8),H8&lt;&gt;0),(H9-H8)/H8*100,"")</f>
        <v>114.28571428571428</v>
      </c>
      <c r="P9" s="4">
        <f t="shared" si="1"/>
        <v>0.5</v>
      </c>
    </row>
    <row r="10" spans="1:16" ht="15" customHeight="1" x14ac:dyDescent="0.25">
      <c r="A10" s="3">
        <v>1999</v>
      </c>
      <c r="B10" s="4">
        <v>36.5</v>
      </c>
      <c r="C10" s="5">
        <v>86243</v>
      </c>
      <c r="D10" s="4">
        <v>6.4</v>
      </c>
      <c r="E10" s="5">
        <v>13.2</v>
      </c>
      <c r="F10" s="4">
        <v>3</v>
      </c>
      <c r="G10" s="6"/>
      <c r="H10" s="4">
        <v>55</v>
      </c>
      <c r="I10" s="4">
        <v>12893</v>
      </c>
      <c r="J10" s="6"/>
      <c r="K10" s="4">
        <v>1.5</v>
      </c>
      <c r="L10" s="4">
        <f>B9</f>
        <v>84.5</v>
      </c>
      <c r="M10" s="4" t="str">
        <f t="shared" si="2"/>
        <v/>
      </c>
      <c r="N10" s="4">
        <f t="shared" si="0"/>
        <v>0</v>
      </c>
      <c r="O10" s="4">
        <f>IF(AND(ISNUMBER(H10),ISNUMBER(H9),H9&lt;&gt;0),(H10-H9)/H9*100,"")</f>
        <v>-8.3333333333333321</v>
      </c>
      <c r="P10" s="4">
        <f t="shared" si="1"/>
        <v>-7</v>
      </c>
    </row>
    <row r="11" spans="1:16" ht="15" customHeight="1" x14ac:dyDescent="0.25">
      <c r="A11" s="3">
        <v>2000</v>
      </c>
      <c r="B11" s="4">
        <v>20.2</v>
      </c>
      <c r="C11" s="5">
        <v>109361</v>
      </c>
      <c r="D11" s="4">
        <v>10</v>
      </c>
      <c r="E11" s="5">
        <v>10.6</v>
      </c>
      <c r="F11" s="4">
        <v>5</v>
      </c>
      <c r="G11" s="6"/>
      <c r="H11" s="4">
        <v>35</v>
      </c>
      <c r="I11" s="4">
        <v>17720</v>
      </c>
      <c r="J11" s="4">
        <v>92</v>
      </c>
      <c r="K11" s="4">
        <v>1.2</v>
      </c>
      <c r="L11" s="4">
        <f>B10</f>
        <v>36.5</v>
      </c>
      <c r="M11" s="4" t="str">
        <f t="shared" si="2"/>
        <v/>
      </c>
      <c r="N11" s="4">
        <f t="shared" si="0"/>
        <v>0</v>
      </c>
      <c r="O11" s="4">
        <f>IF(AND(ISNUMBER(H11),ISNUMBER(H10),H10&lt;&gt;0),(H11-H10)/H10*100,"")</f>
        <v>-36.363636363636367</v>
      </c>
      <c r="P11" s="4">
        <f t="shared" si="1"/>
        <v>3</v>
      </c>
    </row>
    <row r="12" spans="1:16" ht="15" customHeight="1" x14ac:dyDescent="0.25">
      <c r="A12" s="3">
        <v>2001</v>
      </c>
      <c r="B12" s="4">
        <v>18.8</v>
      </c>
      <c r="C12" s="5">
        <v>124029</v>
      </c>
      <c r="D12" s="4">
        <v>5.0999999999999996</v>
      </c>
      <c r="E12" s="5">
        <v>9.3000000000000007</v>
      </c>
      <c r="F12" s="4">
        <v>2.5</v>
      </c>
      <c r="G12" s="6"/>
      <c r="H12" s="4">
        <v>25</v>
      </c>
      <c r="I12" s="4">
        <v>23000</v>
      </c>
      <c r="J12" s="4">
        <v>96</v>
      </c>
      <c r="K12" s="4">
        <v>3</v>
      </c>
      <c r="L12" s="4">
        <f>B11</f>
        <v>20.2</v>
      </c>
      <c r="M12" s="4">
        <f t="shared" si="2"/>
        <v>4.3478260869565215</v>
      </c>
      <c r="N12" s="4">
        <f t="shared" si="0"/>
        <v>92</v>
      </c>
      <c r="O12" s="4">
        <f>IF(AND(ISNUMBER(H12),ISNUMBER(H11),H11&lt;&gt;0),(H12-H11)/H11*100,"")</f>
        <v>-28.571428571428569</v>
      </c>
      <c r="P12" s="4">
        <f t="shared" si="1"/>
        <v>5</v>
      </c>
    </row>
    <row r="13" spans="1:16" ht="15" customHeight="1" x14ac:dyDescent="0.25">
      <c r="A13" s="3">
        <v>2002</v>
      </c>
      <c r="B13" s="4">
        <v>15.1</v>
      </c>
      <c r="C13" s="5">
        <v>149947</v>
      </c>
      <c r="D13" s="4">
        <v>4.7</v>
      </c>
      <c r="E13" s="5">
        <v>8.6</v>
      </c>
      <c r="F13" s="4">
        <v>2</v>
      </c>
      <c r="G13" s="6"/>
      <c r="H13" s="4">
        <v>20</v>
      </c>
      <c r="I13" s="4">
        <v>30000</v>
      </c>
      <c r="J13" s="4">
        <v>98</v>
      </c>
      <c r="K13" s="4">
        <v>1.2</v>
      </c>
      <c r="L13" s="4">
        <f>B12</f>
        <v>18.8</v>
      </c>
      <c r="M13" s="4">
        <f t="shared" si="2"/>
        <v>2.083333333333333</v>
      </c>
      <c r="N13" s="4">
        <f t="shared" si="0"/>
        <v>96</v>
      </c>
      <c r="O13" s="4">
        <f>IF(AND(ISNUMBER(H13),ISNUMBER(H12),H12&lt;&gt;0),(H13-H12)/H12*100,"")</f>
        <v>-20</v>
      </c>
      <c r="P13" s="4">
        <f t="shared" si="1"/>
        <v>2.5</v>
      </c>
    </row>
    <row r="14" spans="1:16" ht="15" customHeight="1" x14ac:dyDescent="0.25">
      <c r="A14" s="3">
        <v>2003</v>
      </c>
      <c r="B14" s="4">
        <v>13.3</v>
      </c>
      <c r="C14" s="5">
        <v>184451</v>
      </c>
      <c r="D14" s="4">
        <v>7.3</v>
      </c>
      <c r="E14" s="5">
        <v>8.1999999999999993</v>
      </c>
      <c r="F14" s="4">
        <v>3</v>
      </c>
      <c r="G14" s="6"/>
      <c r="H14" s="4">
        <v>16</v>
      </c>
      <c r="I14" s="4">
        <v>40000</v>
      </c>
      <c r="J14" s="4">
        <v>99</v>
      </c>
      <c r="K14" s="4">
        <v>3.5</v>
      </c>
      <c r="L14" s="4">
        <f>B13</f>
        <v>15.1</v>
      </c>
      <c r="M14" s="4">
        <f t="shared" si="2"/>
        <v>1.0204081632653061</v>
      </c>
      <c r="N14" s="4">
        <f t="shared" si="0"/>
        <v>98</v>
      </c>
      <c r="O14" s="4">
        <f>IF(AND(ISNUMBER(H14),ISNUMBER(H13),H13&lt;&gt;0),(H14-H13)/H13*100,"")</f>
        <v>-20</v>
      </c>
      <c r="P14" s="4">
        <f t="shared" si="1"/>
        <v>2</v>
      </c>
    </row>
    <row r="15" spans="1:16" ht="15" customHeight="1" x14ac:dyDescent="0.25">
      <c r="A15" s="3">
        <v>2004</v>
      </c>
      <c r="B15" s="4">
        <v>11.7</v>
      </c>
      <c r="C15" s="5">
        <v>215982</v>
      </c>
      <c r="D15" s="4">
        <v>7.2</v>
      </c>
      <c r="E15" s="5">
        <v>7.8</v>
      </c>
      <c r="F15" s="4">
        <v>2.5</v>
      </c>
      <c r="G15" s="6"/>
      <c r="H15" s="4">
        <v>13</v>
      </c>
      <c r="I15" s="4">
        <v>53000</v>
      </c>
      <c r="J15" s="4">
        <v>100</v>
      </c>
      <c r="K15" s="4">
        <v>4</v>
      </c>
      <c r="L15" s="4">
        <f>B14</f>
        <v>13.3</v>
      </c>
      <c r="M15" s="4">
        <f t="shared" si="2"/>
        <v>1.0101010101010102</v>
      </c>
      <c r="N15" s="4">
        <f t="shared" si="0"/>
        <v>99</v>
      </c>
      <c r="O15" s="4">
        <f>IF(AND(ISNUMBER(H15),ISNUMBER(H14),H14&lt;&gt;0),(H15-H14)/H14*100,"")</f>
        <v>-18.75</v>
      </c>
      <c r="P15" s="4">
        <f t="shared" si="1"/>
        <v>3</v>
      </c>
    </row>
    <row r="16" spans="1:16" ht="15" customHeight="1" x14ac:dyDescent="0.25">
      <c r="A16" s="3">
        <v>2005</v>
      </c>
      <c r="B16" s="4">
        <v>10.9</v>
      </c>
      <c r="C16" s="5">
        <v>263685</v>
      </c>
      <c r="D16" s="4">
        <v>6.4</v>
      </c>
      <c r="E16" s="5">
        <v>7.1</v>
      </c>
      <c r="F16" s="4">
        <v>2</v>
      </c>
      <c r="G16" s="6"/>
      <c r="H16" s="4">
        <v>12</v>
      </c>
      <c r="I16" s="4">
        <v>70000</v>
      </c>
      <c r="J16" s="4">
        <v>103</v>
      </c>
      <c r="K16" s="4">
        <v>7.5</v>
      </c>
      <c r="L16" s="4">
        <f>B15</f>
        <v>11.7</v>
      </c>
      <c r="M16" s="4">
        <f t="shared" si="2"/>
        <v>3</v>
      </c>
      <c r="N16" s="4">
        <f t="shared" si="0"/>
        <v>100</v>
      </c>
      <c r="O16" s="4">
        <f>IF(AND(ISNUMBER(H16),ISNUMBER(H15),H15&lt;&gt;0),(H16-H15)/H15*100,"")</f>
        <v>-7.6923076923076925</v>
      </c>
      <c r="P16" s="4">
        <f t="shared" si="1"/>
        <v>2.5</v>
      </c>
    </row>
    <row r="17" spans="1:16" ht="15" customHeight="1" x14ac:dyDescent="0.25">
      <c r="A17" s="3">
        <v>2006</v>
      </c>
      <c r="B17" s="4">
        <v>9</v>
      </c>
      <c r="C17" s="5">
        <v>318883</v>
      </c>
      <c r="D17" s="4">
        <v>7.7</v>
      </c>
      <c r="E17" s="5">
        <v>7.2</v>
      </c>
      <c r="F17" s="4">
        <v>3.5</v>
      </c>
      <c r="G17" s="5">
        <v>15</v>
      </c>
      <c r="H17" s="4">
        <v>10</v>
      </c>
      <c r="I17" s="4">
        <v>91000</v>
      </c>
      <c r="J17" s="4">
        <v>106</v>
      </c>
      <c r="K17" s="4">
        <v>7.5</v>
      </c>
      <c r="L17" s="4">
        <f>B16</f>
        <v>10.9</v>
      </c>
      <c r="M17" s="4">
        <f t="shared" si="2"/>
        <v>2.912621359223301</v>
      </c>
      <c r="N17" s="4">
        <f t="shared" si="0"/>
        <v>103</v>
      </c>
      <c r="O17" s="4">
        <f>IF(AND(ISNUMBER(H17),ISNUMBER(H16),H16&lt;&gt;0),(H17-H16)/H16*100,"")</f>
        <v>-16.666666666666664</v>
      </c>
      <c r="P17" s="4">
        <f t="shared" si="1"/>
        <v>2</v>
      </c>
    </row>
    <row r="18" spans="1:16" ht="15" customHeight="1" x14ac:dyDescent="0.25">
      <c r="A18" s="3">
        <v>2007</v>
      </c>
      <c r="B18" s="4">
        <v>11.9</v>
      </c>
      <c r="C18" s="5">
        <v>410037</v>
      </c>
      <c r="D18" s="4">
        <v>8.5</v>
      </c>
      <c r="E18" s="5">
        <v>6.1</v>
      </c>
      <c r="F18" s="4">
        <v>4.5</v>
      </c>
      <c r="G18" s="5">
        <v>14.5</v>
      </c>
      <c r="H18" s="4">
        <v>10</v>
      </c>
      <c r="I18" s="4">
        <v>123000</v>
      </c>
      <c r="J18" s="4">
        <v>112</v>
      </c>
      <c r="K18" s="4">
        <v>5.5</v>
      </c>
      <c r="L18" s="4">
        <f>B17</f>
        <v>9</v>
      </c>
      <c r="M18" s="4">
        <f t="shared" si="2"/>
        <v>5.6603773584905666</v>
      </c>
      <c r="N18" s="4">
        <f t="shared" si="0"/>
        <v>106</v>
      </c>
      <c r="O18" s="4">
        <f>IF(AND(ISNUMBER(H18),ISNUMBER(H17),H17&lt;&gt;0),(H18-H17)/H17*100,"")</f>
        <v>0</v>
      </c>
      <c r="P18" s="4">
        <f t="shared" si="1"/>
        <v>3.5</v>
      </c>
    </row>
    <row r="19" spans="1:16" ht="15" customHeight="1" x14ac:dyDescent="0.25">
      <c r="A19" s="3">
        <v>2008</v>
      </c>
      <c r="B19" s="4">
        <v>13.3</v>
      </c>
      <c r="C19" s="5">
        <v>495851</v>
      </c>
      <c r="D19" s="4">
        <v>5.2</v>
      </c>
      <c r="E19" s="5">
        <v>6.4</v>
      </c>
      <c r="F19" s="4">
        <v>2</v>
      </c>
      <c r="G19" s="5">
        <v>16</v>
      </c>
      <c r="H19" s="4">
        <v>13</v>
      </c>
      <c r="I19" s="4">
        <v>159000</v>
      </c>
      <c r="J19" s="4">
        <v>115</v>
      </c>
      <c r="K19" s="4">
        <v>4.0999999999999996</v>
      </c>
      <c r="L19" s="4">
        <f>B18</f>
        <v>11.9</v>
      </c>
      <c r="M19" s="4">
        <f t="shared" si="2"/>
        <v>2.6785714285714284</v>
      </c>
      <c r="N19" s="4">
        <f t="shared" si="0"/>
        <v>112</v>
      </c>
      <c r="O19" s="4">
        <f>IF(AND(ISNUMBER(H19),ISNUMBER(H18),H18&lt;&gt;0),(H19-H18)/H18*100,"")</f>
        <v>30</v>
      </c>
      <c r="P19" s="4">
        <f t="shared" si="1"/>
        <v>4.5</v>
      </c>
    </row>
    <row r="20" spans="1:16" ht="15" customHeight="1" x14ac:dyDescent="0.25">
      <c r="A20" s="3">
        <v>2009</v>
      </c>
      <c r="B20" s="4">
        <v>8.8000000000000007</v>
      </c>
      <c r="C20" s="5">
        <v>479560</v>
      </c>
      <c r="D20" s="4">
        <v>-7.8</v>
      </c>
      <c r="E20" s="5">
        <v>8.4</v>
      </c>
      <c r="F20" s="4">
        <v>-8</v>
      </c>
      <c r="G20" s="5">
        <v>14</v>
      </c>
      <c r="H20" s="4">
        <v>9.5</v>
      </c>
      <c r="I20" s="4">
        <v>158000</v>
      </c>
      <c r="J20" s="4">
        <v>125</v>
      </c>
      <c r="K20" s="4">
        <v>-2</v>
      </c>
      <c r="L20" s="4">
        <f>B19</f>
        <v>13.3</v>
      </c>
      <c r="M20" s="4">
        <f t="shared" si="2"/>
        <v>8.695652173913043</v>
      </c>
      <c r="N20" s="4">
        <f t="shared" si="0"/>
        <v>115</v>
      </c>
      <c r="O20" s="4">
        <f>IF(AND(ISNUMBER(H20),ISNUMBER(H19),H19&lt;&gt;0),(H20-H19)/H19*100,"")</f>
        <v>-26.923076923076923</v>
      </c>
      <c r="P20" s="4">
        <f t="shared" si="1"/>
        <v>2</v>
      </c>
    </row>
    <row r="21" spans="1:16" ht="15" customHeight="1" x14ac:dyDescent="0.25">
      <c r="A21" s="3">
        <v>2010</v>
      </c>
      <c r="B21" s="4">
        <v>8.8000000000000007</v>
      </c>
      <c r="C21" s="5">
        <v>524759</v>
      </c>
      <c r="D21" s="4">
        <v>4.5</v>
      </c>
      <c r="E21" s="5">
        <v>7.5</v>
      </c>
      <c r="F21" s="4">
        <v>1</v>
      </c>
      <c r="G21" s="5">
        <v>10.5</v>
      </c>
      <c r="H21" s="4">
        <v>4.25</v>
      </c>
      <c r="I21" s="4">
        <v>177000</v>
      </c>
      <c r="J21" s="4">
        <v>100</v>
      </c>
      <c r="K21" s="4">
        <v>-1.5</v>
      </c>
      <c r="L21" s="4">
        <f>B20</f>
        <v>8.8000000000000007</v>
      </c>
      <c r="M21" s="4">
        <f t="shared" si="2"/>
        <v>-20</v>
      </c>
      <c r="N21" s="4">
        <f t="shared" si="0"/>
        <v>125</v>
      </c>
      <c r="O21" s="4">
        <f>IF(AND(ISNUMBER(H21),ISNUMBER(H20),H20&lt;&gt;0),(H21-H20)/H20*100,"")</f>
        <v>-55.26315789473685</v>
      </c>
      <c r="P21" s="4">
        <f t="shared" si="1"/>
        <v>-8</v>
      </c>
    </row>
    <row r="22" spans="1:16" ht="15" customHeight="1" x14ac:dyDescent="0.25">
      <c r="A22" s="3">
        <v>2011</v>
      </c>
      <c r="B22" s="4">
        <v>6.1</v>
      </c>
      <c r="C22" s="5">
        <v>641514</v>
      </c>
      <c r="D22" s="4">
        <v>4.3</v>
      </c>
      <c r="E22" s="5">
        <v>6.5</v>
      </c>
      <c r="F22" s="4">
        <v>1.5</v>
      </c>
      <c r="G22" s="5">
        <v>11</v>
      </c>
      <c r="H22" s="4">
        <v>4.25</v>
      </c>
      <c r="I22" s="4">
        <v>204000</v>
      </c>
      <c r="J22" s="4">
        <v>102</v>
      </c>
      <c r="K22" s="4">
        <v>0.5</v>
      </c>
      <c r="L22" s="4">
        <f>B21</f>
        <v>8.8000000000000007</v>
      </c>
      <c r="M22" s="4">
        <f t="shared" si="2"/>
        <v>2</v>
      </c>
      <c r="N22" s="4">
        <f t="shared" si="0"/>
        <v>100</v>
      </c>
      <c r="O22" s="4">
        <f>IF(AND(ISNUMBER(H22),ISNUMBER(H21),H21&lt;&gt;0),(H22-H21)/H21*100,"")</f>
        <v>0</v>
      </c>
      <c r="P22" s="4">
        <f t="shared" si="1"/>
        <v>1</v>
      </c>
    </row>
    <row r="23" spans="1:16" ht="15" customHeight="1" x14ac:dyDescent="0.25">
      <c r="A23" s="3">
        <v>2012</v>
      </c>
      <c r="B23" s="4">
        <v>6.6</v>
      </c>
      <c r="C23" s="5">
        <v>749416</v>
      </c>
      <c r="D23" s="4">
        <v>3.5</v>
      </c>
      <c r="E23" s="5">
        <v>6.2</v>
      </c>
      <c r="F23" s="4">
        <v>0.5</v>
      </c>
      <c r="G23" s="5">
        <v>9</v>
      </c>
      <c r="H23" s="4">
        <v>8.25</v>
      </c>
      <c r="I23" s="4">
        <v>261000</v>
      </c>
      <c r="J23" s="4">
        <v>105</v>
      </c>
      <c r="K23" s="4">
        <v>-0.1</v>
      </c>
      <c r="L23" s="4">
        <f>B22</f>
        <v>6.1</v>
      </c>
      <c r="M23" s="4">
        <f t="shared" si="2"/>
        <v>2.9411764705882351</v>
      </c>
      <c r="N23" s="4">
        <f t="shared" si="0"/>
        <v>102</v>
      </c>
      <c r="O23" s="4">
        <f>IF(AND(ISNUMBER(H23),ISNUMBER(H22),H22&lt;&gt;0),(H23-H22)/H22*100,"")</f>
        <v>94.117647058823522</v>
      </c>
      <c r="P23" s="4">
        <f t="shared" si="1"/>
        <v>1.5</v>
      </c>
    </row>
    <row r="24" spans="1:16" ht="15" customHeight="1" x14ac:dyDescent="0.25">
      <c r="A24" s="3">
        <v>2013</v>
      </c>
      <c r="B24" s="4">
        <v>6.5</v>
      </c>
      <c r="C24" s="5">
        <v>850234</v>
      </c>
      <c r="D24" s="4">
        <v>1.3</v>
      </c>
      <c r="E24" s="5">
        <v>5.5</v>
      </c>
      <c r="F24" s="4">
        <v>-0.5</v>
      </c>
      <c r="G24" s="5">
        <v>8.5</v>
      </c>
      <c r="H24" s="4">
        <v>5.5</v>
      </c>
      <c r="I24" s="4">
        <v>291000</v>
      </c>
      <c r="J24" s="4">
        <v>107</v>
      </c>
      <c r="K24" s="4">
        <v>-0.5</v>
      </c>
      <c r="L24" s="4">
        <f>B23</f>
        <v>6.6</v>
      </c>
      <c r="M24" s="4">
        <f t="shared" si="2"/>
        <v>1.9047619047619049</v>
      </c>
      <c r="N24" s="4">
        <f t="shared" si="0"/>
        <v>105</v>
      </c>
      <c r="O24" s="4">
        <f>IF(AND(ISNUMBER(H24),ISNUMBER(H23),H23&lt;&gt;0),(H24-H23)/H23*100,"")</f>
        <v>-33.333333333333329</v>
      </c>
      <c r="P24" s="4">
        <f t="shared" si="1"/>
        <v>0.5</v>
      </c>
    </row>
    <row r="25" spans="1:16" ht="15" customHeight="1" x14ac:dyDescent="0.25">
      <c r="A25" s="3">
        <v>2014</v>
      </c>
      <c r="B25" s="4">
        <v>11.4</v>
      </c>
      <c r="C25" s="5">
        <v>923547</v>
      </c>
      <c r="D25" s="4">
        <v>0.5</v>
      </c>
      <c r="E25" s="5">
        <v>5.2</v>
      </c>
      <c r="F25" s="4">
        <v>-1</v>
      </c>
      <c r="G25" s="5">
        <v>11.5</v>
      </c>
      <c r="H25" s="4">
        <v>8</v>
      </c>
      <c r="I25" s="4">
        <v>329000</v>
      </c>
      <c r="J25" s="4">
        <v>105</v>
      </c>
      <c r="K25" s="4">
        <v>-1.5</v>
      </c>
      <c r="L25" s="4">
        <f>B24</f>
        <v>6.5</v>
      </c>
      <c r="M25" s="4">
        <f t="shared" si="2"/>
        <v>-1.8691588785046727</v>
      </c>
      <c r="N25" s="4">
        <f t="shared" si="0"/>
        <v>107</v>
      </c>
      <c r="O25" s="4">
        <f>IF(AND(ISNUMBER(H25),ISNUMBER(H24),H24&lt;&gt;0),(H25-H24)/H24*100,"")</f>
        <v>45.454545454545453</v>
      </c>
      <c r="P25" s="4">
        <f t="shared" si="1"/>
        <v>-0.5</v>
      </c>
    </row>
    <row r="26" spans="1:16" ht="15" customHeight="1" x14ac:dyDescent="0.25">
      <c r="A26" s="3">
        <v>2015</v>
      </c>
      <c r="B26" s="4">
        <v>12.9</v>
      </c>
      <c r="C26" s="5">
        <v>1009665</v>
      </c>
      <c r="D26" s="4">
        <v>-2</v>
      </c>
      <c r="E26" s="5">
        <v>5.3</v>
      </c>
      <c r="F26" s="4">
        <v>-3</v>
      </c>
      <c r="G26" s="5">
        <v>15</v>
      </c>
      <c r="H26" s="4">
        <v>11</v>
      </c>
      <c r="I26" s="4">
        <v>337000</v>
      </c>
      <c r="J26" s="4">
        <v>95</v>
      </c>
      <c r="K26" s="4">
        <v>-2.5</v>
      </c>
      <c r="L26" s="4">
        <f>B25</f>
        <v>11.4</v>
      </c>
      <c r="M26" s="4">
        <f t="shared" si="2"/>
        <v>-9.5238095238095237</v>
      </c>
      <c r="N26" s="4">
        <f t="shared" si="0"/>
        <v>105</v>
      </c>
      <c r="O26" s="4">
        <f>IF(AND(ISNUMBER(H26),ISNUMBER(H25),H25&lt;&gt;0),(H26-H25)/H25*100,"")</f>
        <v>37.5</v>
      </c>
      <c r="P26" s="4">
        <f t="shared" si="1"/>
        <v>-1</v>
      </c>
    </row>
    <row r="27" spans="1:16" ht="15" customHeight="1" x14ac:dyDescent="0.25">
      <c r="A27" s="3">
        <v>2016</v>
      </c>
      <c r="B27" s="4">
        <v>5.4</v>
      </c>
      <c r="C27" s="5">
        <v>1059903</v>
      </c>
      <c r="D27" s="4">
        <v>0.3</v>
      </c>
      <c r="E27" s="5">
        <v>5.6</v>
      </c>
      <c r="F27" s="4">
        <v>-2</v>
      </c>
      <c r="G27" s="5">
        <v>10</v>
      </c>
      <c r="H27" s="4">
        <v>10</v>
      </c>
      <c r="I27" s="4">
        <v>360000</v>
      </c>
      <c r="J27" s="4">
        <v>93</v>
      </c>
      <c r="K27" s="4">
        <v>-3.7</v>
      </c>
      <c r="L27" s="4">
        <f>B26</f>
        <v>12.9</v>
      </c>
      <c r="M27" s="4">
        <f t="shared" si="2"/>
        <v>-2.1052631578947367</v>
      </c>
      <c r="N27" s="4">
        <f t="shared" si="0"/>
        <v>95</v>
      </c>
      <c r="O27" s="4">
        <f>IF(AND(ISNUMBER(H27),ISNUMBER(H26),H26&lt;&gt;0),(H27-H26)/H26*100,"")</f>
        <v>-9.0909090909090917</v>
      </c>
      <c r="P27" s="4">
        <f t="shared" si="1"/>
        <v>-3</v>
      </c>
    </row>
    <row r="28" spans="1:16" ht="15" customHeight="1" x14ac:dyDescent="0.25">
      <c r="A28" s="3">
        <v>2017</v>
      </c>
      <c r="B28" s="4">
        <v>3.7</v>
      </c>
      <c r="C28" s="5">
        <v>1149991</v>
      </c>
      <c r="D28" s="4">
        <v>1.8</v>
      </c>
      <c r="E28" s="5">
        <v>5.5</v>
      </c>
      <c r="F28" s="4">
        <v>0</v>
      </c>
      <c r="G28" s="5">
        <v>7</v>
      </c>
      <c r="H28" s="4">
        <v>7.75</v>
      </c>
      <c r="I28" s="4">
        <v>419000</v>
      </c>
      <c r="J28" s="4">
        <v>97</v>
      </c>
      <c r="K28" s="4">
        <v>-1.5</v>
      </c>
      <c r="L28" s="4">
        <f>B27</f>
        <v>5.4</v>
      </c>
      <c r="M28" s="4">
        <f t="shared" si="2"/>
        <v>4.3010752688172049</v>
      </c>
      <c r="N28" s="4">
        <f t="shared" si="0"/>
        <v>93</v>
      </c>
      <c r="O28" s="4">
        <f>IF(AND(ISNUMBER(H28),ISNUMBER(H27),H27&lt;&gt;0),(H28-H27)/H27*100,"")</f>
        <v>-22.5</v>
      </c>
      <c r="P28" s="4">
        <f t="shared" si="1"/>
        <v>-2</v>
      </c>
    </row>
    <row r="29" spans="1:16" ht="15" customHeight="1" x14ac:dyDescent="0.25">
      <c r="A29" s="3">
        <v>2018</v>
      </c>
      <c r="B29" s="4">
        <v>2.5</v>
      </c>
      <c r="C29" s="5">
        <v>1277949</v>
      </c>
      <c r="D29" s="4">
        <v>2.6</v>
      </c>
      <c r="E29" s="5">
        <v>4.9000000000000004</v>
      </c>
      <c r="F29" s="4">
        <v>0.5</v>
      </c>
      <c r="G29" s="5">
        <v>6.5</v>
      </c>
      <c r="H29" s="4">
        <v>7.5</v>
      </c>
      <c r="I29" s="4">
        <v>470000</v>
      </c>
      <c r="J29" s="4">
        <v>100</v>
      </c>
      <c r="K29" s="4">
        <v>2.4</v>
      </c>
      <c r="L29" s="4">
        <f>B28</f>
        <v>3.7</v>
      </c>
      <c r="M29" s="4">
        <f t="shared" si="2"/>
        <v>3.0927835051546393</v>
      </c>
      <c r="N29" s="4">
        <f t="shared" si="0"/>
        <v>97</v>
      </c>
      <c r="O29" s="4">
        <f>IF(AND(ISNUMBER(H29),ISNUMBER(H28),H28&lt;&gt;0),(H29-H28)/H28*100,"")</f>
        <v>-3.225806451612903</v>
      </c>
      <c r="P29" s="4">
        <f t="shared" si="1"/>
        <v>0</v>
      </c>
    </row>
    <row r="30" spans="1:16" ht="15" customHeight="1" x14ac:dyDescent="0.25">
      <c r="A30" s="3">
        <v>2019</v>
      </c>
      <c r="B30" s="4">
        <v>4.3</v>
      </c>
      <c r="C30" s="5">
        <v>1347990</v>
      </c>
      <c r="D30" s="4">
        <v>1.3</v>
      </c>
      <c r="E30" s="5">
        <v>4.5999999999999996</v>
      </c>
      <c r="F30" s="4">
        <v>-0.2</v>
      </c>
      <c r="G30" s="5">
        <v>7</v>
      </c>
      <c r="H30" s="4">
        <v>6.5</v>
      </c>
      <c r="I30" s="4">
        <v>513000</v>
      </c>
      <c r="J30" s="4">
        <v>102</v>
      </c>
      <c r="K30" s="4">
        <v>1.9</v>
      </c>
      <c r="L30" s="4">
        <f>B29</f>
        <v>2.5</v>
      </c>
      <c r="M30" s="4">
        <f t="shared" si="2"/>
        <v>2</v>
      </c>
      <c r="N30" s="4">
        <f t="shared" si="0"/>
        <v>100</v>
      </c>
      <c r="O30" s="4">
        <f>IF(AND(ISNUMBER(H30),ISNUMBER(H29),H29&lt;&gt;0),(H30-H29)/H29*100,"")</f>
        <v>-13.333333333333334</v>
      </c>
      <c r="P30" s="4">
        <f t="shared" si="1"/>
        <v>0.5</v>
      </c>
    </row>
    <row r="31" spans="1:16" ht="15" customHeight="1" x14ac:dyDescent="0.25">
      <c r="A31" s="3">
        <v>2020</v>
      </c>
      <c r="B31" s="4">
        <v>4.9000000000000004</v>
      </c>
      <c r="C31" s="5">
        <v>1304914</v>
      </c>
      <c r="D31" s="4">
        <v>-3.1</v>
      </c>
      <c r="E31" s="5">
        <v>5.8</v>
      </c>
      <c r="F31" s="4">
        <v>-4.5</v>
      </c>
      <c r="G31" s="5">
        <v>8.5</v>
      </c>
      <c r="H31" s="4">
        <v>4.25</v>
      </c>
      <c r="I31" s="4">
        <v>538000</v>
      </c>
      <c r="J31" s="4">
        <v>104</v>
      </c>
      <c r="K31" s="4">
        <v>-8</v>
      </c>
      <c r="L31" s="4">
        <f>B30</f>
        <v>4.3</v>
      </c>
      <c r="M31" s="4">
        <f t="shared" si="2"/>
        <v>1.9607843137254901</v>
      </c>
      <c r="N31" s="4">
        <f t="shared" si="0"/>
        <v>102</v>
      </c>
      <c r="O31" s="4">
        <f>IF(AND(ISNUMBER(H31),ISNUMBER(H30),H30&lt;&gt;0),(H31-H30)/H30*100,"")</f>
        <v>-34.615384615384613</v>
      </c>
      <c r="P31" s="4">
        <f t="shared" si="1"/>
        <v>-0.2</v>
      </c>
    </row>
    <row r="32" spans="1:16" ht="15" customHeight="1" x14ac:dyDescent="0.25">
      <c r="A32" s="3">
        <v>2021</v>
      </c>
      <c r="B32" s="4">
        <v>8.4</v>
      </c>
      <c r="C32" s="5">
        <v>1503477</v>
      </c>
      <c r="D32" s="4">
        <v>4.5999999999999996</v>
      </c>
      <c r="E32" s="5">
        <v>4.9000000000000004</v>
      </c>
      <c r="F32" s="4">
        <v>2</v>
      </c>
      <c r="G32" s="5">
        <v>10</v>
      </c>
      <c r="H32" s="4">
        <v>4.5</v>
      </c>
      <c r="I32" s="4">
        <v>637000</v>
      </c>
      <c r="J32" s="4">
        <v>99</v>
      </c>
      <c r="K32" s="4">
        <v>-2.2000000000000002</v>
      </c>
      <c r="L32" s="4">
        <f>B31</f>
        <v>4.9000000000000004</v>
      </c>
      <c r="M32" s="4">
        <f t="shared" si="2"/>
        <v>-4.8076923076923084</v>
      </c>
      <c r="N32" s="4">
        <f t="shared" si="0"/>
        <v>104</v>
      </c>
      <c r="O32" s="4">
        <f>IF(AND(ISNUMBER(H32),ISNUMBER(H31),H31&lt;&gt;0),(H32-H31)/H31*100,"")</f>
        <v>5.8823529411764701</v>
      </c>
      <c r="P32" s="4">
        <f t="shared" si="1"/>
        <v>-4.5</v>
      </c>
    </row>
    <row r="33" spans="1:16" ht="15" customHeight="1" x14ac:dyDescent="0.25">
      <c r="A33" s="3">
        <v>2022</v>
      </c>
      <c r="B33" s="4">
        <v>13.7</v>
      </c>
      <c r="C33" s="5">
        <v>1889498</v>
      </c>
      <c r="D33" s="4">
        <v>-2.1</v>
      </c>
      <c r="E33" s="5">
        <v>3.9</v>
      </c>
      <c r="F33" s="4">
        <v>-3</v>
      </c>
      <c r="G33" s="5">
        <v>16</v>
      </c>
      <c r="H33" s="4">
        <v>9</v>
      </c>
      <c r="I33" s="4">
        <v>837000</v>
      </c>
      <c r="J33" s="4">
        <v>75</v>
      </c>
      <c r="K33" s="4">
        <v>-3.5</v>
      </c>
      <c r="L33" s="4">
        <f>B32</f>
        <v>8.4</v>
      </c>
      <c r="M33" s="4">
        <f t="shared" si="2"/>
        <v>-24.242424242424242</v>
      </c>
      <c r="N33" s="4">
        <f t="shared" si="0"/>
        <v>99</v>
      </c>
      <c r="O33" s="4">
        <f>IF(AND(ISNUMBER(H33),ISNUMBER(H32),H32&lt;&gt;0),(H33-H32)/H32*100,"")</f>
        <v>100</v>
      </c>
      <c r="P33" s="4">
        <f t="shared" si="1"/>
        <v>2</v>
      </c>
    </row>
    <row r="34" spans="1:16" ht="15" customHeight="1" x14ac:dyDescent="0.25">
      <c r="A34" s="3">
        <v>2023</v>
      </c>
      <c r="B34" s="4">
        <v>7.4</v>
      </c>
      <c r="C34" s="5">
        <v>2094643</v>
      </c>
      <c r="D34" s="4">
        <v>3.4</v>
      </c>
      <c r="E34" s="5">
        <v>3.5</v>
      </c>
      <c r="F34" s="4">
        <v>1</v>
      </c>
      <c r="G34" s="5">
        <v>13</v>
      </c>
      <c r="H34" s="4">
        <v>16</v>
      </c>
      <c r="I34" s="4">
        <v>914000</v>
      </c>
      <c r="J34" s="4">
        <v>82</v>
      </c>
      <c r="K34" s="4">
        <v>-2</v>
      </c>
      <c r="L34" s="4">
        <f>B33</f>
        <v>13.7</v>
      </c>
      <c r="M34" s="4">
        <f t="shared" si="2"/>
        <v>9.3333333333333339</v>
      </c>
      <c r="N34" s="4">
        <f t="shared" si="0"/>
        <v>75</v>
      </c>
      <c r="O34" s="4">
        <f>IF(AND(ISNUMBER(H34),ISNUMBER(H33),H33&lt;&gt;0),(H34-H33)/H33*100,"")</f>
        <v>77.777777777777786</v>
      </c>
      <c r="P34" s="4">
        <f t="shared" si="1"/>
        <v>-3</v>
      </c>
    </row>
    <row r="35" spans="1:16" ht="15" customHeight="1" x14ac:dyDescent="0.25">
      <c r="A35" s="3">
        <v>2024</v>
      </c>
      <c r="B35" s="4">
        <v>3.4</v>
      </c>
      <c r="C35" s="5">
        <v>2383915</v>
      </c>
      <c r="D35" s="4">
        <v>2.1</v>
      </c>
      <c r="E35" s="5">
        <v>3</v>
      </c>
      <c r="F35" s="4">
        <v>0.5</v>
      </c>
      <c r="G35" s="5">
        <v>9</v>
      </c>
      <c r="H35" s="4">
        <v>21</v>
      </c>
      <c r="I35" s="4">
        <v>990000</v>
      </c>
      <c r="J35" s="4">
        <v>88</v>
      </c>
      <c r="K35" s="4">
        <v>-1.5</v>
      </c>
      <c r="L35" s="4">
        <f>B34</f>
        <v>7.4</v>
      </c>
      <c r="M35" s="4">
        <f t="shared" si="2"/>
        <v>7.3170731707317067</v>
      </c>
      <c r="N35" s="4">
        <f t="shared" si="0"/>
        <v>82</v>
      </c>
      <c r="O35" s="4">
        <f>IF(AND(ISNUMBER(H35),ISNUMBER(H34),H34&lt;&gt;0),(H35-H34)/H34*100,"")</f>
        <v>31.25</v>
      </c>
      <c r="P35" s="4">
        <f t="shared" si="1"/>
        <v>1</v>
      </c>
    </row>
    <row r="36" spans="1:16" ht="15" customHeight="1" x14ac:dyDescent="0.25">
      <c r="A36" s="3">
        <v>2025</v>
      </c>
      <c r="B36" s="4">
        <v>5.6</v>
      </c>
      <c r="C36" s="5">
        <v>2612978</v>
      </c>
      <c r="D36" s="4">
        <v>1.8</v>
      </c>
      <c r="E36" s="5">
        <v>3.2</v>
      </c>
      <c r="F36" s="4">
        <v>0.2</v>
      </c>
      <c r="G36" s="5">
        <v>13.5</v>
      </c>
      <c r="H36" s="4">
        <v>16.5</v>
      </c>
      <c r="I36" s="4">
        <v>1050000</v>
      </c>
      <c r="J36" s="4">
        <v>85</v>
      </c>
      <c r="K36" s="4">
        <v>-2.5</v>
      </c>
      <c r="L36" s="4">
        <f>B35</f>
        <v>3.4</v>
      </c>
      <c r="M36" s="4">
        <f t="shared" si="2"/>
        <v>-3.4090909090909087</v>
      </c>
      <c r="N36" s="4">
        <f t="shared" si="0"/>
        <v>88</v>
      </c>
      <c r="O36" s="4">
        <f>IF(AND(ISNUMBER(H36),ISNUMBER(H35),H35&lt;&gt;0),(H36-H35)/H35*100,"")</f>
        <v>-21.428571428571427</v>
      </c>
      <c r="P36" s="4">
        <f t="shared" si="1"/>
        <v>0.5</v>
      </c>
    </row>
    <row r="37" spans="1:16" ht="15" customHeight="1" x14ac:dyDescent="0.25">
      <c r="A37" s="3">
        <v>2026</v>
      </c>
      <c r="B37" s="4">
        <v>2.8</v>
      </c>
      <c r="C37" s="5">
        <v>2752354</v>
      </c>
      <c r="D37" s="4">
        <v>1.5</v>
      </c>
      <c r="E37" s="5">
        <v>3.1</v>
      </c>
      <c r="F37" s="4">
        <v>0</v>
      </c>
      <c r="G37" s="5">
        <v>13.2</v>
      </c>
      <c r="H37" s="4">
        <v>12</v>
      </c>
      <c r="I37" s="4">
        <v>1100000</v>
      </c>
      <c r="J37" s="4">
        <v>87</v>
      </c>
      <c r="K37" s="4">
        <v>-3</v>
      </c>
      <c r="L37" s="4">
        <f>B36</f>
        <v>5.6</v>
      </c>
      <c r="M37" s="4">
        <f t="shared" si="2"/>
        <v>2.3529411764705883</v>
      </c>
      <c r="N37" s="4">
        <f t="shared" si="0"/>
        <v>85</v>
      </c>
      <c r="O37" s="4">
        <f>IF(AND(ISNUMBER(H37),ISNUMBER(H36),H36&lt;&gt;0),(H37-H36)/H36*100,"")</f>
        <v>-27.27272727272727</v>
      </c>
      <c r="P37" s="4">
        <f t="shared" si="1"/>
        <v>0.2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zoomScaleNormal="100" workbookViewId="0"/>
  </sheetViews>
  <sheetFormatPr defaultColWidth="8.7109375" defaultRowHeight="15" x14ac:dyDescent="0.25"/>
  <cols>
    <col min="1" max="1" width="35" customWidth="1"/>
    <col min="2" max="2" width="55" customWidth="1"/>
  </cols>
  <sheetData>
    <row r="1" spans="1:1" ht="15" customHeight="1" x14ac:dyDescent="0.25">
      <c r="A1" s="7" t="s">
        <v>16</v>
      </c>
    </row>
    <row r="3" spans="1:1" ht="15" customHeight="1" x14ac:dyDescent="0.25">
      <c r="A3" s="8" t="s">
        <v>17</v>
      </c>
    </row>
    <row r="4" spans="1:1" ht="15" customHeight="1" x14ac:dyDescent="0.25">
      <c r="A4" s="9" t="s">
        <v>1</v>
      </c>
    </row>
    <row r="5" spans="1:1" ht="15" customHeight="1" x14ac:dyDescent="0.25">
      <c r="A5" s="9" t="s">
        <v>5</v>
      </c>
    </row>
    <row r="6" spans="1:1" ht="15" customHeight="1" x14ac:dyDescent="0.25">
      <c r="A6" s="9" t="s">
        <v>6</v>
      </c>
    </row>
    <row r="8" spans="1:1" ht="15" customHeight="1" x14ac:dyDescent="0.25">
      <c r="A8" s="8" t="s">
        <v>18</v>
      </c>
    </row>
    <row r="9" spans="1:1" ht="15" customHeight="1" x14ac:dyDescent="0.25">
      <c r="A9" s="9" t="s">
        <v>19</v>
      </c>
    </row>
    <row r="10" spans="1:1" ht="15" customHeight="1" x14ac:dyDescent="0.25">
      <c r="A10" s="9" t="s">
        <v>20</v>
      </c>
    </row>
    <row r="11" spans="1:1" ht="15" customHeight="1" x14ac:dyDescent="0.25">
      <c r="A11" s="9" t="s">
        <v>21</v>
      </c>
    </row>
    <row r="12" spans="1:1" ht="15" customHeight="1" x14ac:dyDescent="0.25">
      <c r="A12" s="9" t="s">
        <v>22</v>
      </c>
    </row>
    <row r="13" spans="1:1" ht="15" customHeight="1" x14ac:dyDescent="0.25">
      <c r="A13" s="9" t="s">
        <v>23</v>
      </c>
    </row>
    <row r="15" spans="1:1" ht="15" customHeight="1" x14ac:dyDescent="0.25">
      <c r="A15" s="8" t="s">
        <v>24</v>
      </c>
    </row>
    <row r="16" spans="1:1" ht="15" customHeight="1" x14ac:dyDescent="0.25">
      <c r="A16" s="9" t="s">
        <v>25</v>
      </c>
    </row>
    <row r="17" spans="1:1" ht="15" customHeight="1" x14ac:dyDescent="0.25">
      <c r="A17" s="9" t="s">
        <v>26</v>
      </c>
    </row>
    <row r="18" spans="1:1" ht="15" customHeight="1" x14ac:dyDescent="0.25">
      <c r="A18" s="9" t="s">
        <v>27</v>
      </c>
    </row>
    <row r="19" spans="1:1" ht="15" customHeight="1" x14ac:dyDescent="0.25">
      <c r="A19" s="9" t="s">
        <v>28</v>
      </c>
    </row>
    <row r="20" spans="1:1" ht="15" customHeight="1" x14ac:dyDescent="0.25">
      <c r="A20" s="9" t="s">
        <v>29</v>
      </c>
    </row>
    <row r="22" spans="1:1" ht="15" customHeight="1" x14ac:dyDescent="0.25">
      <c r="A22" s="8" t="s">
        <v>30</v>
      </c>
    </row>
    <row r="23" spans="1:1" ht="15" customHeight="1" x14ac:dyDescent="0.25">
      <c r="A23" s="9" t="s">
        <v>31</v>
      </c>
    </row>
    <row r="24" spans="1:1" ht="15" customHeight="1" x14ac:dyDescent="0.25">
      <c r="A24" s="9" t="s">
        <v>32</v>
      </c>
    </row>
    <row r="25" spans="1:1" ht="15" customHeight="1" x14ac:dyDescent="0.25">
      <c r="A25" s="9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zoomScaleNormal="100" workbookViewId="0"/>
  </sheetViews>
  <sheetFormatPr defaultColWidth="8.7109375" defaultRowHeight="15" x14ac:dyDescent="0.25"/>
  <cols>
    <col min="1" max="1" width="50" customWidth="1"/>
    <col min="2" max="2" width="70" customWidth="1"/>
  </cols>
  <sheetData>
    <row r="1" spans="1:2" ht="15" customHeight="1" x14ac:dyDescent="0.25">
      <c r="A1" s="9" t="s">
        <v>34</v>
      </c>
      <c r="B1" s="10"/>
    </row>
    <row r="2" spans="1:2" ht="15" customHeight="1" x14ac:dyDescent="0.25">
      <c r="A2" s="9"/>
      <c r="B2" s="10"/>
    </row>
    <row r="3" spans="1:2" ht="15" customHeight="1" x14ac:dyDescent="0.25">
      <c r="A3" s="11" t="s">
        <v>35</v>
      </c>
      <c r="B3" t="s">
        <v>36</v>
      </c>
    </row>
    <row r="4" spans="1:2" ht="15" customHeight="1" x14ac:dyDescent="0.25">
      <c r="A4" s="12" t="s">
        <v>37</v>
      </c>
      <c r="B4" t="s">
        <v>38</v>
      </c>
    </row>
    <row r="5" spans="1:2" ht="15" customHeight="1" x14ac:dyDescent="0.25">
      <c r="A5" s="9"/>
      <c r="B5" s="10"/>
    </row>
    <row r="6" spans="1:2" ht="15" customHeight="1" x14ac:dyDescent="0.25">
      <c r="A6" s="11" t="s">
        <v>39</v>
      </c>
      <c r="B6" t="s">
        <v>36</v>
      </c>
    </row>
    <row r="7" spans="1:2" ht="15" customHeight="1" x14ac:dyDescent="0.25">
      <c r="A7" s="13" t="s">
        <v>40</v>
      </c>
      <c r="B7" t="s">
        <v>41</v>
      </c>
    </row>
    <row r="8" spans="1:2" ht="15" customHeight="1" x14ac:dyDescent="0.25">
      <c r="A8" s="9" t="s">
        <v>42</v>
      </c>
      <c r="B8" s="10" t="s">
        <v>43</v>
      </c>
    </row>
    <row r="9" spans="1:2" ht="15" customHeight="1" x14ac:dyDescent="0.25">
      <c r="A9" s="9"/>
      <c r="B9" s="10"/>
    </row>
    <row r="10" spans="1:2" ht="15" customHeight="1" x14ac:dyDescent="0.25">
      <c r="A10" s="13" t="s">
        <v>44</v>
      </c>
      <c r="B10" t="s">
        <v>41</v>
      </c>
    </row>
    <row r="11" spans="1:2" ht="23.25" customHeight="1" x14ac:dyDescent="0.25">
      <c r="A11" s="9" t="s">
        <v>45</v>
      </c>
      <c r="B11" s="10" t="s">
        <v>46</v>
      </c>
    </row>
    <row r="12" spans="1:2" ht="15" customHeight="1" x14ac:dyDescent="0.25">
      <c r="A12" s="9" t="s">
        <v>47</v>
      </c>
      <c r="B12" s="10" t="s">
        <v>48</v>
      </c>
    </row>
    <row r="13" spans="1:2" ht="15" customHeight="1" x14ac:dyDescent="0.25">
      <c r="A13" s="9" t="s">
        <v>49</v>
      </c>
      <c r="B13" s="10" t="s">
        <v>50</v>
      </c>
    </row>
    <row r="14" spans="1:2" ht="15" customHeight="1" x14ac:dyDescent="0.25">
      <c r="A14" s="13" t="s">
        <v>51</v>
      </c>
      <c r="B14" t="s">
        <v>41</v>
      </c>
    </row>
    <row r="15" spans="1:2" ht="15" customHeight="1" x14ac:dyDescent="0.25">
      <c r="A15" s="9" t="s">
        <v>22</v>
      </c>
      <c r="B15" s="10" t="s">
        <v>52</v>
      </c>
    </row>
    <row r="16" spans="1:2" ht="15" customHeight="1" x14ac:dyDescent="0.25">
      <c r="A16" s="9" t="s">
        <v>53</v>
      </c>
      <c r="B16" s="10" t="s">
        <v>54</v>
      </c>
    </row>
    <row r="17" spans="1:2" ht="15" customHeight="1" x14ac:dyDescent="0.25">
      <c r="A17" s="9" t="s">
        <v>55</v>
      </c>
      <c r="B17" s="10" t="s">
        <v>56</v>
      </c>
    </row>
    <row r="18" spans="1:2" ht="15" customHeight="1" x14ac:dyDescent="0.25">
      <c r="A18" s="9"/>
      <c r="B18" s="10"/>
    </row>
    <row r="19" spans="1:2" ht="15" customHeight="1" x14ac:dyDescent="0.25">
      <c r="A19" s="11" t="s">
        <v>57</v>
      </c>
      <c r="B19" t="s">
        <v>36</v>
      </c>
    </row>
    <row r="20" spans="1:2" ht="15" customHeight="1" x14ac:dyDescent="0.25">
      <c r="A20" s="9" t="s">
        <v>58</v>
      </c>
      <c r="B20" s="10" t="s">
        <v>59</v>
      </c>
    </row>
    <row r="21" spans="1:2" ht="15" customHeight="1" x14ac:dyDescent="0.25">
      <c r="A21" s="9" t="s">
        <v>60</v>
      </c>
      <c r="B21" s="10" t="s">
        <v>61</v>
      </c>
    </row>
    <row r="22" spans="1:2" ht="15" customHeight="1" x14ac:dyDescent="0.25">
      <c r="A22" s="9" t="s">
        <v>62</v>
      </c>
      <c r="B22" s="10" t="s">
        <v>63</v>
      </c>
    </row>
    <row r="23" spans="1:2" ht="23.25" customHeight="1" x14ac:dyDescent="0.25">
      <c r="A23" s="9" t="s">
        <v>64</v>
      </c>
      <c r="B23" s="10" t="s">
        <v>65</v>
      </c>
    </row>
    <row r="24" spans="1:2" ht="15" customHeight="1" x14ac:dyDescent="0.25">
      <c r="A24" s="9"/>
      <c r="B24" s="10"/>
    </row>
    <row r="25" spans="1:2" ht="15" customHeight="1" x14ac:dyDescent="0.25">
      <c r="A25" s="11" t="s">
        <v>66</v>
      </c>
      <c r="B25" t="s">
        <v>36</v>
      </c>
    </row>
    <row r="26" spans="1:2" ht="15" customHeight="1" x14ac:dyDescent="0.25">
      <c r="A26" s="9" t="s">
        <v>67</v>
      </c>
      <c r="B26" s="10" t="s">
        <v>68</v>
      </c>
    </row>
    <row r="27" spans="1:2" ht="15" customHeight="1" x14ac:dyDescent="0.25">
      <c r="A27" s="9" t="s">
        <v>69</v>
      </c>
      <c r="B27" s="10" t="s">
        <v>70</v>
      </c>
    </row>
    <row r="28" spans="1:2" ht="15" customHeight="1" x14ac:dyDescent="0.25">
      <c r="A28" s="9" t="s">
        <v>71</v>
      </c>
      <c r="B28" s="10" t="s">
        <v>72</v>
      </c>
    </row>
    <row r="29" spans="1:2" ht="15" customHeight="1" x14ac:dyDescent="0.25">
      <c r="A29" s="9" t="s">
        <v>73</v>
      </c>
      <c r="B29" s="10" t="s">
        <v>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Phillips Curve Data</vt:lpstr>
      <vt:lpstr>Источники и методология</vt:lpstr>
      <vt:lpstr>Спецификация модели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Михаил Ефимов</cp:lastModifiedBy>
  <cp:revision>0</cp:revision>
  <dcterms:created xsi:type="dcterms:W3CDTF">2026-05-04T10:43:21Z</dcterms:created>
  <dcterms:modified xsi:type="dcterms:W3CDTF">2026-08-18T04:13:14Z</dcterms:modified>
  <dc:language>en-US</dc:language>
</cp:coreProperties>
</file>